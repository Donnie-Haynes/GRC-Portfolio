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Cover" sheetId="1" r:id="rId4"/>
    <sheet state="visible" name="📊 Risk Register" sheetId="2" r:id="rId5"/>
    <sheet state="visible" name="📈 Dashboard" sheetId="3" r:id="rId6"/>
    <sheet state="visible" name="📚 Reference" sheetId="4" r:id="rId7"/>
  </sheets>
  <definedNames/>
  <calcPr/>
  <extLst>
    <ext uri="GoogleSheetsCustomDataVersion2">
      <go:sheetsCustomData xmlns:go="http://customooxmlschemas.google.com/" r:id="rId8" roundtripDataChecksum="eLuCmsrdZMM1Zg8EpkXpbcVW9l3qdELQhuWRZy8fV0s="/>
    </ext>
  </extLst>
</workbook>
</file>

<file path=xl/sharedStrings.xml><?xml version="1.0" encoding="utf-8"?>
<sst xmlns="http://schemas.openxmlformats.org/spreadsheetml/2006/main" count="289" uniqueCount="223">
  <si>
    <t>NimbusHR Inc. — Cybersecurity Risk Register</t>
  </si>
  <si>
    <t>Aligned to NIST Cybersecurity Framework 2.0  |  Prepared by: Donnie V Haynes</t>
  </si>
  <si>
    <t>DOCUMENT INFORMATION</t>
  </si>
  <si>
    <t>Document Title</t>
  </si>
  <si>
    <t>NimbusHR Cybersecurity Risk Register</t>
  </si>
  <si>
    <t>Version</t>
  </si>
  <si>
    <t>1.0 — Initial Release</t>
  </si>
  <si>
    <t>Prepared By</t>
  </si>
  <si>
    <t>Donnie V Haynes (Portfolio Project)</t>
  </si>
  <si>
    <t>Framework</t>
  </si>
  <si>
    <t>NIST Cybersecurity Framework 2.0</t>
  </si>
  <si>
    <t>Classification</t>
  </si>
  <si>
    <t>Confidential — Internal Use Only</t>
  </si>
  <si>
    <t>Review Cycle</t>
  </si>
  <si>
    <t>Monthly review | Annual reassessment</t>
  </si>
  <si>
    <t>Last Updated</t>
  </si>
  <si>
    <t>2024</t>
  </si>
  <si>
    <t>HOW TO USE THIS REGISTER</t>
  </si>
  <si>
    <t>📊 Risk Register tab</t>
  </si>
  <si>
    <t>The main working document. Each row is one risk. Update Status, Residual Score, and Notes as controls are implemented.</t>
  </si>
  <si>
    <t>📈 Dashboard tab</t>
  </si>
  <si>
    <t>Auto-calculated summary. Shows risk counts by rating, treatment strategy breakdown, and open vs closed items.</t>
  </si>
  <si>
    <t>📚 Reference tab</t>
  </si>
  <si>
    <t>Definitions for all column values — risk ratings, treatment strategies, status codes, and NIST CSF function descriptions.</t>
  </si>
  <si>
    <t>🔄 Update frequency</t>
  </si>
  <si>
    <t>The register should be reviewed monthly by the Risk Owner and formally reassessed annually or after any material security incident.</t>
  </si>
  <si>
    <t>➕ Adding new risks</t>
  </si>
  <si>
    <t>Insert a new row in the Risk Register, assign the next sequential Risk ID (R-009, R-010, etc.), and complete all columns.</t>
  </si>
  <si>
    <t>✅ Closing a risk</t>
  </si>
  <si>
    <t>When a risk is fully remediated, change Status to CLOSED and set the Residual Score to reflect remaining exposure. Do not delete rows.</t>
  </si>
  <si>
    <t>RISK RATING SCALE</t>
  </si>
  <si>
    <t>🔴  CRITICAL (20–25)</t>
  </si>
  <si>
    <t>Immediate action required. Escalate to senior leadership.</t>
  </si>
  <si>
    <t>🟠  HIGH (12–19)</t>
  </si>
  <si>
    <t>Remediate within 30–60 days. Assign owner, track to closure.</t>
  </si>
  <si>
    <t>🟡  MEDIUM (6–11)</t>
  </si>
  <si>
    <t>Remediate within 90 days. Document compensating controls.</t>
  </si>
  <si>
    <t>🟢  LOW (1–5)</t>
  </si>
  <si>
    <t>Monitor and review at next scheduled assessment cycle.</t>
  </si>
  <si>
    <t>NimbusHR Inc.  |  Cybersecurity Risk Register  |  NIST CSF 2.0  |  Prepared by: Donnie V Haynes  |  Version 1.0  |  2024</t>
  </si>
  <si>
    <t>Risk ID</t>
  </si>
  <si>
    <t>Risk Title</t>
  </si>
  <si>
    <t>Category</t>
  </si>
  <si>
    <t>Description</t>
  </si>
  <si>
    <t>Threat Source</t>
  </si>
  <si>
    <t>Affected Assets</t>
  </si>
  <si>
    <t>NIST CSF Ref</t>
  </si>
  <si>
    <t>Likelihood
(1–5)</t>
  </si>
  <si>
    <t>Impact
(1–5)</t>
  </si>
  <si>
    <t>Inherent
Risk Score</t>
  </si>
  <si>
    <t>Inherent
Rating</t>
  </si>
  <si>
    <t>Treatment
Strategy</t>
  </si>
  <si>
    <t>Controls In Place</t>
  </si>
  <si>
    <t>Additional Controls
Required</t>
  </si>
  <si>
    <t>Risk Owner</t>
  </si>
  <si>
    <t>Target Date</t>
  </si>
  <si>
    <t>Residual
Likelihood</t>
  </si>
  <si>
    <t>Residual
Impact</t>
  </si>
  <si>
    <t>Residual
Risk Score</t>
  </si>
  <si>
    <t>Residual
Rating</t>
  </si>
  <si>
    <t>Status</t>
  </si>
  <si>
    <t>Last Reviewed</t>
  </si>
  <si>
    <t>Notes</t>
  </si>
  <si>
    <t>R-001</t>
  </si>
  <si>
    <t>No MFA on Administrative Accounts</t>
  </si>
  <si>
    <t>Access Control</t>
  </si>
  <si>
    <t>Admin and privileged AWS accounts lack MFA. A credential compromise would grant full cloud environment access including all stored PII.</t>
  </si>
  <si>
    <t>External Attacker / Insider</t>
  </si>
  <si>
    <t>AWS Root Account, IAM Admin Roles, Console Access</t>
  </si>
  <si>
    <t>PR.AA-03, PR.AA-05</t>
  </si>
  <si>
    <t>CRITICAL</t>
  </si>
  <si>
    <t>Mitigate</t>
  </si>
  <si>
    <t>Password policy enforced. IAM users require unique credentials.</t>
  </si>
  <si>
    <t>Enable MFA on root account and all IAM console users. Enforce via SCP. Deploy hardware tokens for privileged accounts.</t>
  </si>
  <si>
    <t>IT Manager</t>
  </si>
  <si>
    <t>2024-01-15</t>
  </si>
  <si>
    <t>MEDIUM</t>
  </si>
  <si>
    <t>IN PROGRESS</t>
  </si>
  <si>
    <t>2024-01-01</t>
  </si>
  <si>
    <t>MFA enabled on root account. Rollout to IAM users underway. SCP policy drafted.</t>
  </si>
  <si>
    <t>R-002</t>
  </si>
  <si>
    <t>Insufficient Encryption of PII at Rest</t>
  </si>
  <si>
    <t>Data Protection</t>
  </si>
  <si>
    <t>Not all S3 buckets have default encryption enabled. KMS key rotation not configured on RDS. PII exposed if buckets are misconfigured or accessed without authorisation.</t>
  </si>
  <si>
    <t>External Attacker / Misconfiguration</t>
  </si>
  <si>
    <t>AWS S3 Buckets, RDS Database</t>
  </si>
  <si>
    <t>PR.DS-01, PR.DS-02</t>
  </si>
  <si>
    <t>RDS encryption enabled at rest. TLS enforced in transit.</t>
  </si>
  <si>
    <t>Enable S3 default encryption (AES-256/KMS) on all buckets. Enable KMS key auto-rotation. Deploy AWS Config rule for unencrypted resources.</t>
  </si>
  <si>
    <t>S3 encryption audit in progress. 14 of 22 buckets remediated.</t>
  </si>
  <si>
    <t>R-003</t>
  </si>
  <si>
    <t>No Incident Response Plan</t>
  </si>
  <si>
    <t>Incident Readiness</t>
  </si>
  <si>
    <t>No documented IRP exists. Staff have no established procedures for detection, containment, notification, or recovery in the event of a breach or ransomware incident.</t>
  </si>
  <si>
    <t>All Threat Actors</t>
  </si>
  <si>
    <t>All Systems / Business Continuity</t>
  </si>
  <si>
    <t>RS.MA-01, RS.CO-02, RC.RP-01</t>
  </si>
  <si>
    <t>HIGH</t>
  </si>
  <si>
    <t>None. No documented IRP, playbooks, or escalation contacts exist.</t>
  </si>
  <si>
    <t>Draft IRP covering: incident classification, roles, containment, comms, and recovery. Conduct tabletop exercise within 30 days of publication.</t>
  </si>
  <si>
    <t>2024-02-28</t>
  </si>
  <si>
    <t>OPEN</t>
  </si>
  <si>
    <t>IRP drafting not yet started. Assigned to IT Manager. High priority.</t>
  </si>
  <si>
    <t>R-004</t>
  </si>
  <si>
    <t>No Security Awareness Training</t>
  </si>
  <si>
    <t>Human Factor</t>
  </si>
  <si>
    <t>No mandatory security awareness training programme. Employees are susceptible to phishing, social engineering, and unsafe data-handling practices.</t>
  </si>
  <si>
    <t>Phishing / Social Engineering</t>
  </si>
  <si>
    <t>All Employees / Email / Credentials</t>
  </si>
  <si>
    <t>GV.RR-02, PR.AT-01</t>
  </si>
  <si>
    <t>Informal guidance shared via Slack. No structured programme.</t>
  </si>
  <si>
    <t>Deploy training platform (KnowBe4 free tier or equivalent). Require annual completion. Run quarterly simulated phishing campaigns.</t>
  </si>
  <si>
    <t>HR + IT Manager</t>
  </si>
  <si>
    <t>Evaluating KnowBe4 and Proofpoint free tiers. Budget approval pending.</t>
  </si>
  <si>
    <t>R-005</t>
  </si>
  <si>
    <t>No Patch Management Programme</t>
  </si>
  <si>
    <t>Patch Management</t>
  </si>
  <si>
    <t>No documented patching schedule. Open-source library dependencies in the web application may contain known CVEs. No vulnerability scanner deployed.</t>
  </si>
  <si>
    <t>External Attacker / Opportunistic</t>
  </si>
  <si>
    <t>Web Application, AWS EC2, OS / Libraries</t>
  </si>
  <si>
    <t>ID.RA-01, PR.PS-02</t>
  </si>
  <si>
    <t>Ad-hoc patching performed by developers. No formal SLA.</t>
  </si>
  <si>
    <t>Define monthly patch cycle. Deploy Dependabot in GitHub CI/CD. Deploy AWS Inspector for infrastructure scanning. Set CVE SLAs.</t>
  </si>
  <si>
    <t>Engineering Lead</t>
  </si>
  <si>
    <t>2024-03-31</t>
  </si>
  <si>
    <t>Dependabot can be enabled on GitHub at no cost. Quick win.</t>
  </si>
  <si>
    <t>R-006</t>
  </si>
  <si>
    <t>Excessive Privileges / No Access Reviews</t>
  </si>
  <si>
    <t>Developer and support accounts hold broader IAM permissions than role requires. No formal access review. Former employees may retain active credentials.</t>
  </si>
  <si>
    <t>Insider Threat / Compromised Account</t>
  </si>
  <si>
    <t>AWS IAM, Internal Systems, S3, RDS</t>
  </si>
  <si>
    <t>PR.AA-01, PR.AA-05, ID.AM-03</t>
  </si>
  <si>
    <t>Unique IAM credentials per user. No shared accounts.</t>
  </si>
  <si>
    <t>Conduct immediate IAM access review. Implement least-privilege. Create off-boarding checklist. Schedule quarterly access certifications.</t>
  </si>
  <si>
    <t>IAM Access Analyzer available at no cost in AWS console.</t>
  </si>
  <si>
    <t>R-007</t>
  </si>
  <si>
    <t>Insufficient Logging and Monitoring</t>
  </si>
  <si>
    <t>CloudTrail enabled but logs not actively monitored. No alerts on critical events. Attackers could operate undetected for extended periods.</t>
  </si>
  <si>
    <t>AWS CloudTrail, CloudWatch, All Infrastructure</t>
  </si>
  <si>
    <t>DE.CM-01, DE.AE-02, PR.PS-04</t>
  </si>
  <si>
    <t>AWS CloudTrail enabled in primary region. Logs stored in S3.</t>
  </si>
  <si>
    <t>Enable CloudTrail in all regions. Configure CloudWatch alerts for: root logins, IAM changes, large S3 downloads, failed auth spikes.</t>
  </si>
  <si>
    <t>CloudWatch alerting is low-cost. Estimate &lt;$20/month for alert rules.</t>
  </si>
  <si>
    <t>R-008</t>
  </si>
  <si>
    <t>Unassessed Third-Party Vendor Risk</t>
  </si>
  <si>
    <t>Third-Party Risk</t>
  </si>
  <si>
    <t>Payroll API integration transmits salary and banking data to a third party that has not been formally security assessed. No DPA or VSQ in place.</t>
  </si>
  <si>
    <t>Supply Chain / Third-Party Breach</t>
  </si>
  <si>
    <t>Payroll Integration API, Client Salary Data</t>
  </si>
  <si>
    <t>GV.SC-04, GV.SC-06</t>
  </si>
  <si>
    <t>Transfer</t>
  </si>
  <si>
    <t>TLS encryption on API calls. Contractual SLA with vendor.</t>
  </si>
  <si>
    <t>Issue vendor security questionnaire (VSQ). Request SOC 2 report. Ensure Data Processing Agreement (DPA) is executed.</t>
  </si>
  <si>
    <t>Legal + IT Manager</t>
  </si>
  <si>
    <t>2024-04-30</t>
  </si>
  <si>
    <t>VSQ template available from NIST SP 800-161. Low effort, high value.</t>
  </si>
  <si>
    <t>NimbusHR Risk Register — Executive Dashboard</t>
  </si>
  <si>
    <t>Auto-calculated from Risk Register  |  Prepared by: Donnie V Haynes  |  NIST CSF 2.0</t>
  </si>
  <si>
    <t>▸  RISK COUNTS — INHERENT RATING</t>
  </si>
  <si>
    <t>🔴  CRITICAL risks</t>
  </si>
  <si>
    <t>🟠  HIGH risks</t>
  </si>
  <si>
    <t>🟡  MEDIUM risks</t>
  </si>
  <si>
    <t>🟢  LOW risks</t>
  </si>
  <si>
    <t>📋  Total risks</t>
  </si>
  <si>
    <t>▸  RISK STATUS BREAKDOWN</t>
  </si>
  <si>
    <t>🔓  Open</t>
  </si>
  <si>
    <t>🔄  In Progress</t>
  </si>
  <si>
    <t>✅  Closed</t>
  </si>
  <si>
    <t>📌  Accepted</t>
  </si>
  <si>
    <t>▸  TREATMENT STRATEGY BREAKDOWN</t>
  </si>
  <si>
    <t>🛡️  Mitigate</t>
  </si>
  <si>
    <t>🔄  Transfer</t>
  </si>
  <si>
    <t>📋  Accept</t>
  </si>
  <si>
    <t>🚫  Avoid</t>
  </si>
  <si>
    <t>▸  RISK REDUCTION SUMMARY (Inherent vs Residual)</t>
  </si>
  <si>
    <t>Inherent Score</t>
  </si>
  <si>
    <t>Residual Score</t>
  </si>
  <si>
    <t>Score Reduction</t>
  </si>
  <si>
    <t>Reference Guide — Definitions &amp; Framework Mappings</t>
  </si>
  <si>
    <t>CRITICAL (Score 20–25)</t>
  </si>
  <si>
    <t>Immediate remediation required. Escalate to senior leadership. Risk to core business operations.</t>
  </si>
  <si>
    <t>HIGH (Score 12–19)</t>
  </si>
  <si>
    <t>Remediate within 30–60 days. Assign a named owner. Track to closure at every review.</t>
  </si>
  <si>
    <t>MEDIUM (Score 6–11)</t>
  </si>
  <si>
    <t>Remediate within 90 days. Document any compensating controls in place.</t>
  </si>
  <si>
    <t>LOW (Score 1–5)</t>
  </si>
  <si>
    <t>Monitor at next scheduled review cycle. Compensating controls may be sufficient.</t>
  </si>
  <si>
    <t>TREATMENT STRATEGIES</t>
  </si>
  <si>
    <t>Implement controls to reduce likelihood or impact. Most common strategy — applies to the majority of technical risks.</t>
  </si>
  <si>
    <t>Shift financial liability to a third party (e.g., cyber liability insurance, contractual indemnity, managed security provider).</t>
  </si>
  <si>
    <t>Accept</t>
  </si>
  <si>
    <t>Acknowledge the risk exists but make a documented decision that cost of remediation exceeds benefit. Requires management sign-off.</t>
  </si>
  <si>
    <t>Avoid</t>
  </si>
  <si>
    <t>Eliminate the activity or system that creates the risk entirely. E.g., stop using an insecure third-party tool.</t>
  </si>
  <si>
    <t>STATUS CODES</t>
  </si>
  <si>
    <t>Risk identified. No remediation action taken yet. Requires an assigned owner and target date.</t>
  </si>
  <si>
    <t>Remediation underway. Controls being implemented. Check notes column for progress details.</t>
  </si>
  <si>
    <t>CLOSED</t>
  </si>
  <si>
    <t>Risk fully remediated. Controls implemented and verified. Residual score updated to reflect remaining exposure.</t>
  </si>
  <si>
    <t>ACCEPTED</t>
  </si>
  <si>
    <t>Risk formally accepted by management. Documented rationale required. Review at next cycle.</t>
  </si>
  <si>
    <t>NIST CSF 2.0 — CORE FUNCTIONS</t>
  </si>
  <si>
    <t>GOVERN (GV)</t>
  </si>
  <si>
    <t>Establishes organizational context, risk strategy, roles, policies, and oversight. New in CSF 2.0. Foundation of all other functions.</t>
  </si>
  <si>
    <t>IDENTIFY (ID)</t>
  </si>
  <si>
    <t>Understand the organization's assets, risks, and vulnerabilities. Includes asset management and risk assessment.</t>
  </si>
  <si>
    <t>PROTECT (PR)</t>
  </si>
  <si>
    <t>Implement safeguards to limit the impact of cybersecurity events. Includes access control, data protection, and training.</t>
  </si>
  <si>
    <t>DETECT (DE)</t>
  </si>
  <si>
    <t>Develop and implement activities to identify cybersecurity events in a timely manner. Includes monitoring and anomaly detection.</t>
  </si>
  <si>
    <t>RESPOND (RS)</t>
  </si>
  <si>
    <t>Take action regarding a detected cybersecurity incident. Includes response planning, communications, and analysis.</t>
  </si>
  <si>
    <t>RECOVER (RC)</t>
  </si>
  <si>
    <t>Restore capabilities impaired by a cybersecurity incident. Includes recovery planning and communications.</t>
  </si>
  <si>
    <t>RISK SCORING METHODOLOGY</t>
  </si>
  <si>
    <t>Inherent Risk Score</t>
  </si>
  <si>
    <t>Likelihood (1–5) × Impact (1–5) = Raw score BEFORE any controls are applied. Represents worst-case exposure.</t>
  </si>
  <si>
    <t>Residual Risk Score</t>
  </si>
  <si>
    <t>Likelihood (1–5) × Impact (1–5) = Score AFTER controls are implemented. Should decrease as remediation progresses.</t>
  </si>
  <si>
    <t>Likelihood Scale</t>
  </si>
  <si>
    <t>1=Rare, 2=Unlikely, 3=Possible, 4=Likely, 5=Almost Certain. Based on threat frequency and existing control environment.</t>
  </si>
  <si>
    <t>Impact Scale</t>
  </si>
  <si>
    <t>1=Negligible, 2=Minor, 3=Moderate, 4=Major, 5=Catastrophic. Based on financial, reputational, legal, and operational impact.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</si>
</sst>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8.0"/>
      <color rgb="FFFFFFFF"/>
      <name val="Arial"/>
    </font>
    <font/>
    <font>
      <i/>
      <sz val="10.0"/>
      <color rgb="FFFFFFFF"/>
      <name val="Arial"/>
    </font>
    <font>
      <b/>
      <sz val="10.0"/>
      <color rgb="FF1B2A4A"/>
      <name val="Arial"/>
    </font>
    <font>
      <sz val="10.0"/>
      <color rgb="FF374151"/>
      <name val="Arial"/>
    </font>
    <font>
      <b/>
      <sz val="10.0"/>
      <color rgb="FF374151"/>
      <name val="Arial"/>
    </font>
    <font>
      <b/>
      <sz val="10.0"/>
      <color rgb="FFDC2626"/>
      <name val="Arial"/>
    </font>
    <font>
      <b/>
      <sz val="10.0"/>
      <color rgb="FFEA580C"/>
      <name val="Arial"/>
    </font>
    <font>
      <b/>
      <sz val="10.0"/>
      <color rgb="FFCA8A04"/>
      <name val="Arial"/>
    </font>
    <font>
      <b/>
      <sz val="10.0"/>
      <color rgb="FF16A34A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9.0"/>
      <color rgb="FF1B2A4A"/>
      <name val="Arial"/>
    </font>
    <font>
      <sz val="9.0"/>
      <color rgb="FF374151"/>
      <name val="Arial"/>
    </font>
    <font>
      <b/>
      <sz val="11.0"/>
      <color rgb="FF374151"/>
      <name val="Arial"/>
    </font>
    <font>
      <b/>
      <sz val="9.0"/>
      <color rgb="FFDC2626"/>
      <name val="Arial"/>
    </font>
    <font>
      <b/>
      <sz val="9.0"/>
      <color rgb="FF2A7F7F"/>
      <name val="Arial"/>
    </font>
    <font>
      <b/>
      <sz val="9.0"/>
      <color rgb="FFCA8A04"/>
      <name val="Arial"/>
    </font>
    <font>
      <b/>
      <sz val="9.0"/>
      <color rgb="FFEA580C"/>
      <name val="Arial"/>
    </font>
    <font>
      <b/>
      <sz val="9.0"/>
      <color rgb="FF2563EB"/>
      <name val="Arial"/>
    </font>
    <font>
      <b/>
      <sz val="16.0"/>
      <color rgb="FFFFFFFF"/>
      <name val="Arial"/>
    </font>
    <font>
      <b/>
      <sz val="9.0"/>
      <color rgb="FF374151"/>
      <name val="Arial"/>
    </font>
    <font>
      <b/>
      <sz val="12.0"/>
      <color rgb="FFDC2626"/>
      <name val="Arial"/>
    </font>
    <font>
      <b/>
      <sz val="12.0"/>
      <color rgb="FFEA580C"/>
      <name val="Arial"/>
    </font>
    <font>
      <b/>
      <sz val="12.0"/>
      <color rgb="FFCA8A04"/>
      <name val="Arial"/>
    </font>
    <font>
      <b/>
      <sz val="12.0"/>
      <color rgb="FF16A34A"/>
      <name val="Arial"/>
    </font>
    <font>
      <b/>
      <sz val="12.0"/>
      <color rgb="FF1B2A4A"/>
      <name val="Arial"/>
    </font>
    <font>
      <b/>
      <sz val="12.0"/>
      <color rgb="FF6B7280"/>
      <name val="Arial"/>
    </font>
    <font>
      <b/>
      <sz val="12.0"/>
      <color rgb="FF2A7F7F"/>
      <name val="Arial"/>
    </font>
    <font>
      <b/>
      <sz val="12.0"/>
      <color rgb="FF2563EB"/>
      <name val="Arial"/>
    </font>
    <font>
      <b/>
      <sz val="14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A7F7F"/>
        <bgColor rgb="FF2A7F7F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  <fill>
      <patternFill patternType="solid">
        <fgColor rgb="FFFFEDD5"/>
        <bgColor rgb="FFFFEDD5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E8F4F4"/>
        <bgColor rgb="FFE8F4F4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2" fontId="2" numFmtId="0" xfId="0" applyAlignment="1" applyBorder="1" applyFill="1" applyFont="1">
      <alignment shrinkToFit="0" vertical="bottom" wrapText="1"/>
    </xf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3" fontId="2" numFmtId="0" xfId="0" applyAlignment="1" applyBorder="1" applyFill="1" applyFont="1">
      <alignment shrinkToFit="0" vertical="bottom" wrapText="1"/>
    </xf>
    <xf borderId="2" fillId="3" fontId="5" numFmtId="0" xfId="0" applyAlignment="1" applyBorder="1" applyFont="1">
      <alignment horizontal="left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5" fontId="9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6" fontId="10" numFmtId="0" xfId="0" applyAlignment="1" applyBorder="1" applyFill="1" applyFont="1">
      <alignment horizontal="left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1" fillId="7" fontId="11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ont="1">
      <alignment horizontal="left" shrinkToFit="0" vertical="center" wrapText="1"/>
    </xf>
    <xf borderId="1" fillId="8" fontId="12" numFmtId="0" xfId="0" applyAlignment="1" applyBorder="1" applyFill="1" applyFont="1">
      <alignment horizontal="left" shrinkToFit="0" vertical="center" wrapText="1"/>
    </xf>
    <xf borderId="1" fillId="8" fontId="7" numFmtId="0" xfId="0" applyAlignment="1" applyBorder="1" applyFont="1">
      <alignment horizontal="left" shrinkToFit="0" vertical="center" wrapText="1"/>
    </xf>
    <xf borderId="5" fillId="2" fontId="13" numFmtId="0" xfId="0" applyAlignment="1" applyBorder="1" applyFont="1">
      <alignment horizontal="left" shrinkToFit="0" vertical="center" wrapText="0"/>
    </xf>
    <xf borderId="6" fillId="0" fontId="4" numFmtId="0" xfId="0" applyBorder="1" applyFont="1"/>
    <xf borderId="7" fillId="0" fontId="4" numFmtId="0" xfId="0" applyBorder="1" applyFont="1"/>
    <xf borderId="8" fillId="3" fontId="14" numFmtId="0" xfId="0" applyAlignment="1" applyBorder="1" applyFont="1">
      <alignment horizontal="center" shrinkToFit="0" vertical="center" wrapText="1"/>
    </xf>
    <xf borderId="9" fillId="9" fontId="15" numFmtId="0" xfId="0" applyAlignment="1" applyBorder="1" applyFill="1" applyFont="1">
      <alignment horizontal="center" shrinkToFit="0" vertical="center" wrapText="0"/>
    </xf>
    <xf borderId="9" fillId="9" fontId="16" numFmtId="0" xfId="0" applyAlignment="1" applyBorder="1" applyFont="1">
      <alignment horizontal="left" shrinkToFit="0" vertical="center" wrapText="1"/>
    </xf>
    <xf borderId="9" fillId="9" fontId="6" numFmtId="0" xfId="0" applyAlignment="1" applyBorder="1" applyFont="1">
      <alignment horizontal="center" shrinkToFit="0" vertical="center" wrapText="0"/>
    </xf>
    <xf borderId="9" fillId="9" fontId="17" numFmtId="0" xfId="0" applyAlignment="1" applyBorder="1" applyFont="1">
      <alignment horizontal="center" shrinkToFit="0" vertical="center" wrapText="0"/>
    </xf>
    <xf borderId="9" fillId="5" fontId="18" numFmtId="0" xfId="0" applyAlignment="1" applyBorder="1" applyFont="1">
      <alignment horizontal="center" shrinkToFit="0" vertical="center" wrapText="0"/>
    </xf>
    <xf borderId="9" fillId="9" fontId="19" numFmtId="0" xfId="0" applyAlignment="1" applyBorder="1" applyFont="1">
      <alignment horizontal="center" shrinkToFit="0" vertical="center" wrapText="0"/>
    </xf>
    <xf borderId="9" fillId="7" fontId="20" numFmtId="0" xfId="0" applyAlignment="1" applyBorder="1" applyFont="1">
      <alignment horizontal="center" shrinkToFit="0" vertical="center" wrapText="0"/>
    </xf>
    <xf borderId="9" fillId="10" fontId="15" numFmtId="0" xfId="0" applyAlignment="1" applyBorder="1" applyFill="1" applyFont="1">
      <alignment horizontal="center" shrinkToFit="0" vertical="center" wrapText="0"/>
    </xf>
    <xf borderId="9" fillId="10" fontId="16" numFmtId="0" xfId="0" applyAlignment="1" applyBorder="1" applyFont="1">
      <alignment horizontal="left" shrinkToFit="0" vertical="center" wrapText="1"/>
    </xf>
    <xf borderId="9" fillId="10" fontId="6" numFmtId="0" xfId="0" applyAlignment="1" applyBorder="1" applyFont="1">
      <alignment horizontal="center" shrinkToFit="0" vertical="center" wrapText="0"/>
    </xf>
    <xf borderId="9" fillId="10" fontId="17" numFmtId="0" xfId="0" applyAlignment="1" applyBorder="1" applyFont="1">
      <alignment horizontal="center" shrinkToFit="0" vertical="center" wrapText="0"/>
    </xf>
    <xf borderId="9" fillId="10" fontId="19" numFmtId="0" xfId="0" applyAlignment="1" applyBorder="1" applyFont="1">
      <alignment horizontal="center" shrinkToFit="0" vertical="center" wrapText="0"/>
    </xf>
    <xf borderId="9" fillId="6" fontId="21" numFmtId="0" xfId="0" applyAlignment="1" applyBorder="1" applyFont="1">
      <alignment horizontal="center" shrinkToFit="0" vertical="center" wrapText="0"/>
    </xf>
    <xf borderId="9" fillId="10" fontId="22" numFmtId="0" xfId="0" applyAlignment="1" applyBorder="1" applyFont="1">
      <alignment horizontal="center" shrinkToFit="0" vertical="center" wrapText="0"/>
    </xf>
    <xf borderId="10" fillId="2" fontId="2" numFmtId="0" xfId="0" applyAlignment="1" applyBorder="1" applyFont="1">
      <alignment shrinkToFit="0" vertical="bottom" wrapText="0"/>
    </xf>
    <xf borderId="11" fillId="2" fontId="23" numFmtId="0" xfId="0" applyAlignment="1" applyBorder="1" applyFont="1">
      <alignment horizontal="left" shrinkToFit="0" vertical="center" wrapText="0"/>
    </xf>
    <xf borderId="12" fillId="0" fontId="4" numFmtId="0" xfId="0" applyBorder="1" applyFont="1"/>
    <xf borderId="13" fillId="0" fontId="4" numFmtId="0" xfId="0" applyBorder="1" applyFont="1"/>
    <xf borderId="10" fillId="3" fontId="2" numFmtId="0" xfId="0" applyAlignment="1" applyBorder="1" applyFont="1">
      <alignment shrinkToFit="0" vertical="bottom" wrapText="0"/>
    </xf>
    <xf borderId="11" fillId="3" fontId="5" numFmtId="0" xfId="0" applyAlignment="1" applyBorder="1" applyFont="1">
      <alignment horizontal="left" shrinkToFit="0" vertical="center" wrapText="0"/>
    </xf>
    <xf borderId="11" fillId="4" fontId="6" numFmtId="0" xfId="0" applyAlignment="1" applyBorder="1" applyFont="1">
      <alignment horizontal="left" shrinkToFit="0" vertical="center" wrapText="0"/>
    </xf>
    <xf borderId="9" fillId="5" fontId="24" numFmtId="0" xfId="0" applyAlignment="1" applyBorder="1" applyFont="1">
      <alignment horizontal="left" shrinkToFit="0" vertical="center" wrapText="0"/>
    </xf>
    <xf borderId="9" fillId="5" fontId="25" numFmtId="0" xfId="0" applyAlignment="1" applyBorder="1" applyFont="1">
      <alignment horizontal="center" shrinkToFit="0" vertical="center" wrapText="0"/>
    </xf>
    <xf borderId="9" fillId="6" fontId="24" numFmtId="0" xfId="0" applyAlignment="1" applyBorder="1" applyFont="1">
      <alignment horizontal="left" shrinkToFit="0" vertical="center" wrapText="0"/>
    </xf>
    <xf borderId="9" fillId="6" fontId="26" numFmtId="0" xfId="0" applyAlignment="1" applyBorder="1" applyFont="1">
      <alignment horizontal="center" shrinkToFit="0" vertical="center" wrapText="0"/>
    </xf>
    <xf borderId="9" fillId="7" fontId="24" numFmtId="0" xfId="0" applyAlignment="1" applyBorder="1" applyFont="1">
      <alignment horizontal="left" shrinkToFit="0" vertical="center" wrapText="0"/>
    </xf>
    <xf borderId="9" fillId="7" fontId="27" numFmtId="0" xfId="0" applyAlignment="1" applyBorder="1" applyFont="1">
      <alignment horizontal="center" shrinkToFit="0" vertical="center" wrapText="0"/>
    </xf>
    <xf borderId="9" fillId="8" fontId="24" numFmtId="0" xfId="0" applyAlignment="1" applyBorder="1" applyFont="1">
      <alignment horizontal="left" shrinkToFit="0" vertical="center" wrapText="0"/>
    </xf>
    <xf borderId="9" fillId="8" fontId="28" numFmtId="0" xfId="0" applyAlignment="1" applyBorder="1" applyFont="1">
      <alignment horizontal="center" shrinkToFit="0" vertical="center" wrapText="0"/>
    </xf>
    <xf borderId="9" fillId="9" fontId="24" numFmtId="0" xfId="0" applyAlignment="1" applyBorder="1" applyFont="1">
      <alignment horizontal="left" shrinkToFit="0" vertical="center" wrapText="0"/>
    </xf>
    <xf borderId="9" fillId="9" fontId="29" numFmtId="0" xfId="0" applyAlignment="1" applyBorder="1" applyFont="1">
      <alignment horizontal="center" shrinkToFit="0" vertical="center" wrapText="0"/>
    </xf>
    <xf borderId="9" fillId="4" fontId="24" numFmtId="0" xfId="0" applyAlignment="1" applyBorder="1" applyFont="1">
      <alignment horizontal="left" shrinkToFit="0" vertical="center" wrapText="0"/>
    </xf>
    <xf borderId="9" fillId="4" fontId="30" numFmtId="0" xfId="0" applyAlignment="1" applyBorder="1" applyFont="1">
      <alignment horizontal="center" shrinkToFit="0" vertical="center" wrapText="0"/>
    </xf>
    <xf borderId="9" fillId="9" fontId="31" numFmtId="0" xfId="0" applyAlignment="1" applyBorder="1" applyFont="1">
      <alignment horizontal="center" shrinkToFit="0" vertical="center" wrapText="0"/>
    </xf>
    <xf borderId="9" fillId="11" fontId="24" numFmtId="0" xfId="0" applyAlignment="1" applyBorder="1" applyFill="1" applyFont="1">
      <alignment horizontal="left" shrinkToFit="0" vertical="center" wrapText="0"/>
    </xf>
    <xf borderId="9" fillId="11" fontId="32" numFmtId="0" xfId="0" applyAlignment="1" applyBorder="1" applyFont="1">
      <alignment horizontal="center" shrinkToFit="0" vertical="center" wrapText="0"/>
    </xf>
    <xf borderId="11" fillId="4" fontId="6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9" fillId="0" fontId="15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left" shrinkToFit="0" vertical="center" wrapText="1"/>
    </xf>
    <xf borderId="9" fillId="5" fontId="8" numFmtId="0" xfId="0" applyAlignment="1" applyBorder="1" applyFont="1">
      <alignment horizontal="center" shrinkToFit="0" vertical="center" wrapText="1"/>
    </xf>
    <xf borderId="9" fillId="7" fontId="8" numFmtId="0" xfId="0" applyAlignment="1" applyBorder="1" applyFont="1">
      <alignment horizontal="center" shrinkToFit="0" vertical="center" wrapText="1"/>
    </xf>
    <xf borderId="9" fillId="8" fontId="12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center" shrinkToFit="0" vertical="center" wrapText="1"/>
    </xf>
    <xf borderId="11" fillId="2" fontId="33" numFmtId="0" xfId="0" applyAlignment="1" applyBorder="1" applyFont="1">
      <alignment horizontal="left" shrinkToFit="0" vertical="center" wrapText="0"/>
    </xf>
    <xf borderId="11" fillId="3" fontId="13" numFmtId="0" xfId="0" applyAlignment="1" applyBorder="1" applyFont="1">
      <alignment horizontal="left" shrinkToFit="0" vertical="center" wrapText="0"/>
    </xf>
    <xf borderId="9" fillId="5" fontId="15" numFmtId="0" xfId="0" applyAlignment="1" applyBorder="1" applyFont="1">
      <alignment horizontal="left" shrinkToFit="0" vertical="center" wrapText="1"/>
    </xf>
    <xf borderId="9" fillId="5" fontId="16" numFmtId="0" xfId="0" applyAlignment="1" applyBorder="1" applyFont="1">
      <alignment horizontal="left" shrinkToFit="0" vertical="center" wrapText="1"/>
    </xf>
    <xf borderId="9" fillId="6" fontId="15" numFmtId="0" xfId="0" applyAlignment="1" applyBorder="1" applyFont="1">
      <alignment horizontal="left" shrinkToFit="0" vertical="center" wrapText="1"/>
    </xf>
    <xf borderId="9" fillId="6" fontId="16" numFmtId="0" xfId="0" applyAlignment="1" applyBorder="1" applyFont="1">
      <alignment horizontal="left" shrinkToFit="0" vertical="center" wrapText="1"/>
    </xf>
    <xf borderId="9" fillId="7" fontId="15" numFmtId="0" xfId="0" applyAlignment="1" applyBorder="1" applyFont="1">
      <alignment horizontal="left" shrinkToFit="0" vertical="center" wrapText="1"/>
    </xf>
    <xf borderId="9" fillId="7" fontId="16" numFmtId="0" xfId="0" applyAlignment="1" applyBorder="1" applyFont="1">
      <alignment horizontal="left" shrinkToFit="0" vertical="center" wrapText="1"/>
    </xf>
    <xf borderId="9" fillId="8" fontId="15" numFmtId="0" xfId="0" applyAlignment="1" applyBorder="1" applyFont="1">
      <alignment horizontal="left" shrinkToFit="0" vertical="center" wrapText="1"/>
    </xf>
    <xf borderId="9" fillId="8" fontId="16" numFmtId="0" xfId="0" applyAlignment="1" applyBorder="1" applyFont="1">
      <alignment horizontal="left" shrinkToFit="0" vertical="center" wrapText="1"/>
    </xf>
    <xf borderId="9" fillId="10" fontId="15" numFmtId="0" xfId="0" applyAlignment="1" applyBorder="1" applyFont="1">
      <alignment horizontal="left" shrinkToFit="0" vertical="center" wrapText="1"/>
    </xf>
    <xf borderId="9" fillId="4" fontId="15" numFmtId="0" xfId="0" applyAlignment="1" applyBorder="1" applyFont="1">
      <alignment horizontal="left" shrinkToFit="0" vertical="center" wrapText="1"/>
    </xf>
    <xf borderId="9" fillId="4" fontId="16" numFmtId="0" xfId="0" applyAlignment="1" applyBorder="1" applyFont="1">
      <alignment horizontal="left" shrinkToFit="0" vertical="center" wrapText="1"/>
    </xf>
    <xf borderId="9" fillId="9" fontId="1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55.0"/>
    <col customWidth="1" min="4" max="4" width="18.0"/>
    <col customWidth="1" min="5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4"/>
      <c r="D2" s="5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 t="s">
        <v>1</v>
      </c>
      <c r="C3" s="4"/>
      <c r="D3" s="5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2</v>
      </c>
      <c r="C5" s="9"/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" t="s">
        <v>3</v>
      </c>
      <c r="C6" s="11" t="s">
        <v>4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5</v>
      </c>
      <c r="C7" s="11" t="s">
        <v>6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7</v>
      </c>
      <c r="C8" s="11" t="s">
        <v>8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" t="s">
        <v>9</v>
      </c>
      <c r="C9" s="11" t="s">
        <v>10</v>
      </c>
      <c r="D9" s="1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 t="s">
        <v>11</v>
      </c>
      <c r="C10" s="11" t="s">
        <v>12</v>
      </c>
      <c r="D10" s="1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13</v>
      </c>
      <c r="C11" s="11" t="s">
        <v>14</v>
      </c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" t="s">
        <v>15</v>
      </c>
      <c r="C12" s="11" t="s">
        <v>16</v>
      </c>
      <c r="D12" s="1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17</v>
      </c>
      <c r="C14" s="9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" t="s">
        <v>18</v>
      </c>
      <c r="C15" s="11" t="s">
        <v>19</v>
      </c>
      <c r="D15" s="1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0" t="s">
        <v>20</v>
      </c>
      <c r="C16" s="11" t="s">
        <v>21</v>
      </c>
      <c r="D16" s="1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0" t="s">
        <v>22</v>
      </c>
      <c r="C17" s="11" t="s">
        <v>23</v>
      </c>
      <c r="D17" s="1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 t="s">
        <v>24</v>
      </c>
      <c r="C18" s="11" t="s">
        <v>25</v>
      </c>
      <c r="D18" s="1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 t="s">
        <v>26</v>
      </c>
      <c r="C19" s="11" t="s">
        <v>27</v>
      </c>
      <c r="D19" s="1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 t="s">
        <v>28</v>
      </c>
      <c r="C20" s="11" t="s">
        <v>29</v>
      </c>
      <c r="D20" s="1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" t="s">
        <v>30</v>
      </c>
      <c r="C22" s="9"/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2" t="s">
        <v>31</v>
      </c>
      <c r="C23" s="13" t="s">
        <v>32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4" t="s">
        <v>33</v>
      </c>
      <c r="C24" s="15" t="s">
        <v>34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6" t="s">
        <v>35</v>
      </c>
      <c r="C25" s="17" t="s">
        <v>36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8" t="s">
        <v>37</v>
      </c>
      <c r="C26" s="19" t="s">
        <v>38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D2"/>
    <mergeCell ref="B3:D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7F7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16.0"/>
    <col customWidth="1" min="4" max="4" width="40.0"/>
    <col customWidth="1" min="5" max="5" width="18.0"/>
    <col customWidth="1" min="6" max="6" width="22.0"/>
    <col customWidth="1" min="7" max="7" width="14.0"/>
    <col customWidth="1" min="8" max="9" width="10.0"/>
    <col customWidth="1" min="10" max="11" width="12.0"/>
    <col customWidth="1" min="12" max="12" width="13.0"/>
    <col customWidth="1" min="13" max="14" width="30.0"/>
    <col customWidth="1" min="15" max="15" width="16.0"/>
    <col customWidth="1" min="16" max="16" width="13.0"/>
    <col customWidth="1" min="17" max="17" width="12.0"/>
    <col customWidth="1" min="18" max="18" width="11.0"/>
    <col customWidth="1" min="19" max="21" width="12.0"/>
    <col customWidth="1" min="22" max="22" width="13.0"/>
    <col customWidth="1" min="23" max="23" width="35.0"/>
    <col customWidth="1" min="24" max="26" width="8.71"/>
  </cols>
  <sheetData>
    <row r="1" ht="27.75" customHeight="1">
      <c r="A1" s="20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2"/>
    </row>
    <row r="2" ht="39.75" customHeight="1">
      <c r="A2" s="23" t="s">
        <v>40</v>
      </c>
      <c r="B2" s="23" t="s">
        <v>41</v>
      </c>
      <c r="C2" s="23" t="s">
        <v>42</v>
      </c>
      <c r="D2" s="23" t="s">
        <v>43</v>
      </c>
      <c r="E2" s="23" t="s">
        <v>44</v>
      </c>
      <c r="F2" s="23" t="s">
        <v>45</v>
      </c>
      <c r="G2" s="23" t="s">
        <v>46</v>
      </c>
      <c r="H2" s="23" t="s">
        <v>47</v>
      </c>
      <c r="I2" s="23" t="s">
        <v>48</v>
      </c>
      <c r="J2" s="23" t="s">
        <v>49</v>
      </c>
      <c r="K2" s="23" t="s">
        <v>50</v>
      </c>
      <c r="L2" s="23" t="s">
        <v>51</v>
      </c>
      <c r="M2" s="23" t="s">
        <v>52</v>
      </c>
      <c r="N2" s="23" t="s">
        <v>53</v>
      </c>
      <c r="O2" s="23" t="s">
        <v>54</v>
      </c>
      <c r="P2" s="23" t="s">
        <v>55</v>
      </c>
      <c r="Q2" s="23" t="s">
        <v>56</v>
      </c>
      <c r="R2" s="23" t="s">
        <v>57</v>
      </c>
      <c r="S2" s="23" t="s">
        <v>58</v>
      </c>
      <c r="T2" s="23" t="s">
        <v>59</v>
      </c>
      <c r="U2" s="23" t="s">
        <v>60</v>
      </c>
      <c r="V2" s="23" t="s">
        <v>61</v>
      </c>
      <c r="W2" s="23" t="s">
        <v>62</v>
      </c>
    </row>
    <row r="3" ht="60.0" customHeight="1">
      <c r="A3" s="24" t="s">
        <v>63</v>
      </c>
      <c r="B3" s="25" t="s">
        <v>64</v>
      </c>
      <c r="C3" s="25" t="s">
        <v>65</v>
      </c>
      <c r="D3" s="25" t="s">
        <v>66</v>
      </c>
      <c r="E3" s="25" t="s">
        <v>67</v>
      </c>
      <c r="F3" s="25" t="s">
        <v>68</v>
      </c>
      <c r="G3" s="25" t="s">
        <v>69</v>
      </c>
      <c r="H3" s="26">
        <v>5.0</v>
      </c>
      <c r="I3" s="26">
        <v>5.0</v>
      </c>
      <c r="J3" s="27">
        <f t="shared" ref="J3:J10" si="1">H3*I3</f>
        <v>25</v>
      </c>
      <c r="K3" s="28" t="s">
        <v>70</v>
      </c>
      <c r="L3" s="29" t="s">
        <v>71</v>
      </c>
      <c r="M3" s="25" t="s">
        <v>72</v>
      </c>
      <c r="N3" s="25" t="s">
        <v>73</v>
      </c>
      <c r="O3" s="25" t="s">
        <v>74</v>
      </c>
      <c r="P3" s="25" t="s">
        <v>75</v>
      </c>
      <c r="Q3" s="26">
        <v>2.0</v>
      </c>
      <c r="R3" s="26">
        <v>5.0</v>
      </c>
      <c r="S3" s="27">
        <f t="shared" ref="S3:S10" si="2">Q3*R3</f>
        <v>10</v>
      </c>
      <c r="T3" s="30" t="s">
        <v>76</v>
      </c>
      <c r="U3" s="30" t="s">
        <v>77</v>
      </c>
      <c r="V3" s="25" t="s">
        <v>78</v>
      </c>
      <c r="W3" s="25" t="s">
        <v>79</v>
      </c>
    </row>
    <row r="4" ht="60.0" customHeight="1">
      <c r="A4" s="31" t="s">
        <v>80</v>
      </c>
      <c r="B4" s="32" t="s">
        <v>81</v>
      </c>
      <c r="C4" s="32" t="s">
        <v>82</v>
      </c>
      <c r="D4" s="32" t="s">
        <v>83</v>
      </c>
      <c r="E4" s="32" t="s">
        <v>84</v>
      </c>
      <c r="F4" s="32" t="s">
        <v>85</v>
      </c>
      <c r="G4" s="32" t="s">
        <v>86</v>
      </c>
      <c r="H4" s="33">
        <v>4.0</v>
      </c>
      <c r="I4" s="33">
        <v>5.0</v>
      </c>
      <c r="J4" s="34">
        <f t="shared" si="1"/>
        <v>20</v>
      </c>
      <c r="K4" s="28" t="s">
        <v>70</v>
      </c>
      <c r="L4" s="35" t="s">
        <v>71</v>
      </c>
      <c r="M4" s="32" t="s">
        <v>87</v>
      </c>
      <c r="N4" s="32" t="s">
        <v>88</v>
      </c>
      <c r="O4" s="32" t="s">
        <v>74</v>
      </c>
      <c r="P4" s="32" t="s">
        <v>75</v>
      </c>
      <c r="Q4" s="33">
        <v>2.0</v>
      </c>
      <c r="R4" s="33">
        <v>5.0</v>
      </c>
      <c r="S4" s="34">
        <f t="shared" si="2"/>
        <v>10</v>
      </c>
      <c r="T4" s="30" t="s">
        <v>76</v>
      </c>
      <c r="U4" s="30" t="s">
        <v>77</v>
      </c>
      <c r="V4" s="32" t="s">
        <v>78</v>
      </c>
      <c r="W4" s="32" t="s">
        <v>89</v>
      </c>
    </row>
    <row r="5" ht="60.0" customHeight="1">
      <c r="A5" s="24" t="s">
        <v>90</v>
      </c>
      <c r="B5" s="25" t="s">
        <v>91</v>
      </c>
      <c r="C5" s="25" t="s">
        <v>92</v>
      </c>
      <c r="D5" s="25" t="s">
        <v>93</v>
      </c>
      <c r="E5" s="25" t="s">
        <v>94</v>
      </c>
      <c r="F5" s="25" t="s">
        <v>95</v>
      </c>
      <c r="G5" s="25" t="s">
        <v>96</v>
      </c>
      <c r="H5" s="26">
        <v>4.0</v>
      </c>
      <c r="I5" s="26">
        <v>4.0</v>
      </c>
      <c r="J5" s="27">
        <f t="shared" si="1"/>
        <v>16</v>
      </c>
      <c r="K5" s="36" t="s">
        <v>97</v>
      </c>
      <c r="L5" s="29" t="s">
        <v>71</v>
      </c>
      <c r="M5" s="25" t="s">
        <v>98</v>
      </c>
      <c r="N5" s="25" t="s">
        <v>99</v>
      </c>
      <c r="O5" s="25" t="s">
        <v>74</v>
      </c>
      <c r="P5" s="25" t="s">
        <v>100</v>
      </c>
      <c r="Q5" s="26">
        <v>3.0</v>
      </c>
      <c r="R5" s="26">
        <v>4.0</v>
      </c>
      <c r="S5" s="27">
        <f t="shared" si="2"/>
        <v>12</v>
      </c>
      <c r="T5" s="36" t="s">
        <v>97</v>
      </c>
      <c r="U5" s="36" t="s">
        <v>101</v>
      </c>
      <c r="V5" s="25" t="s">
        <v>78</v>
      </c>
      <c r="W5" s="25" t="s">
        <v>102</v>
      </c>
    </row>
    <row r="6" ht="60.0" customHeight="1">
      <c r="A6" s="31" t="s">
        <v>103</v>
      </c>
      <c r="B6" s="32" t="s">
        <v>104</v>
      </c>
      <c r="C6" s="32" t="s">
        <v>105</v>
      </c>
      <c r="D6" s="32" t="s">
        <v>106</v>
      </c>
      <c r="E6" s="32" t="s">
        <v>107</v>
      </c>
      <c r="F6" s="32" t="s">
        <v>108</v>
      </c>
      <c r="G6" s="32" t="s">
        <v>109</v>
      </c>
      <c r="H6" s="33">
        <v>4.0</v>
      </c>
      <c r="I6" s="33">
        <v>4.0</v>
      </c>
      <c r="J6" s="34">
        <f t="shared" si="1"/>
        <v>16</v>
      </c>
      <c r="K6" s="36" t="s">
        <v>97</v>
      </c>
      <c r="L6" s="35" t="s">
        <v>71</v>
      </c>
      <c r="M6" s="32" t="s">
        <v>110</v>
      </c>
      <c r="N6" s="32" t="s">
        <v>111</v>
      </c>
      <c r="O6" s="32" t="s">
        <v>112</v>
      </c>
      <c r="P6" s="32" t="s">
        <v>100</v>
      </c>
      <c r="Q6" s="33">
        <v>2.0</v>
      </c>
      <c r="R6" s="33">
        <v>4.0</v>
      </c>
      <c r="S6" s="34">
        <f t="shared" si="2"/>
        <v>8</v>
      </c>
      <c r="T6" s="30" t="s">
        <v>76</v>
      </c>
      <c r="U6" s="36" t="s">
        <v>101</v>
      </c>
      <c r="V6" s="32" t="s">
        <v>78</v>
      </c>
      <c r="W6" s="32" t="s">
        <v>113</v>
      </c>
    </row>
    <row r="7" ht="60.0" customHeight="1">
      <c r="A7" s="24" t="s">
        <v>114</v>
      </c>
      <c r="B7" s="25" t="s">
        <v>115</v>
      </c>
      <c r="C7" s="25" t="s">
        <v>116</v>
      </c>
      <c r="D7" s="25" t="s">
        <v>117</v>
      </c>
      <c r="E7" s="25" t="s">
        <v>118</v>
      </c>
      <c r="F7" s="25" t="s">
        <v>119</v>
      </c>
      <c r="G7" s="25" t="s">
        <v>120</v>
      </c>
      <c r="H7" s="26">
        <v>3.0</v>
      </c>
      <c r="I7" s="26">
        <v>4.0</v>
      </c>
      <c r="J7" s="27">
        <f t="shared" si="1"/>
        <v>12</v>
      </c>
      <c r="K7" s="36" t="s">
        <v>97</v>
      </c>
      <c r="L7" s="29" t="s">
        <v>71</v>
      </c>
      <c r="M7" s="25" t="s">
        <v>121</v>
      </c>
      <c r="N7" s="25" t="s">
        <v>122</v>
      </c>
      <c r="O7" s="25" t="s">
        <v>123</v>
      </c>
      <c r="P7" s="25" t="s">
        <v>124</v>
      </c>
      <c r="Q7" s="26">
        <v>2.0</v>
      </c>
      <c r="R7" s="26">
        <v>4.0</v>
      </c>
      <c r="S7" s="27">
        <f t="shared" si="2"/>
        <v>8</v>
      </c>
      <c r="T7" s="30" t="s">
        <v>76</v>
      </c>
      <c r="U7" s="36" t="s">
        <v>101</v>
      </c>
      <c r="V7" s="25" t="s">
        <v>78</v>
      </c>
      <c r="W7" s="25" t="s">
        <v>125</v>
      </c>
    </row>
    <row r="8" ht="60.0" customHeight="1">
      <c r="A8" s="31" t="s">
        <v>126</v>
      </c>
      <c r="B8" s="32" t="s">
        <v>127</v>
      </c>
      <c r="C8" s="32" t="s">
        <v>65</v>
      </c>
      <c r="D8" s="32" t="s">
        <v>128</v>
      </c>
      <c r="E8" s="32" t="s">
        <v>129</v>
      </c>
      <c r="F8" s="32" t="s">
        <v>130</v>
      </c>
      <c r="G8" s="32" t="s">
        <v>131</v>
      </c>
      <c r="H8" s="33">
        <v>3.0</v>
      </c>
      <c r="I8" s="33">
        <v>3.0</v>
      </c>
      <c r="J8" s="34">
        <f t="shared" si="1"/>
        <v>9</v>
      </c>
      <c r="K8" s="30" t="s">
        <v>76</v>
      </c>
      <c r="L8" s="35" t="s">
        <v>71</v>
      </c>
      <c r="M8" s="32" t="s">
        <v>132</v>
      </c>
      <c r="N8" s="32" t="s">
        <v>133</v>
      </c>
      <c r="O8" s="32" t="s">
        <v>74</v>
      </c>
      <c r="P8" s="32" t="s">
        <v>124</v>
      </c>
      <c r="Q8" s="33">
        <v>2.0</v>
      </c>
      <c r="R8" s="33">
        <v>3.0</v>
      </c>
      <c r="S8" s="34">
        <f t="shared" si="2"/>
        <v>6</v>
      </c>
      <c r="T8" s="30" t="s">
        <v>76</v>
      </c>
      <c r="U8" s="36" t="s">
        <v>101</v>
      </c>
      <c r="V8" s="32" t="s">
        <v>78</v>
      </c>
      <c r="W8" s="32" t="s">
        <v>134</v>
      </c>
    </row>
    <row r="9" ht="60.0" customHeight="1">
      <c r="A9" s="24" t="s">
        <v>135</v>
      </c>
      <c r="B9" s="25" t="s">
        <v>136</v>
      </c>
      <c r="C9" s="25" t="s">
        <v>92</v>
      </c>
      <c r="D9" s="25" t="s">
        <v>137</v>
      </c>
      <c r="E9" s="25" t="s">
        <v>94</v>
      </c>
      <c r="F9" s="25" t="s">
        <v>138</v>
      </c>
      <c r="G9" s="25" t="s">
        <v>139</v>
      </c>
      <c r="H9" s="26">
        <v>3.0</v>
      </c>
      <c r="I9" s="26">
        <v>3.0</v>
      </c>
      <c r="J9" s="27">
        <f t="shared" si="1"/>
        <v>9</v>
      </c>
      <c r="K9" s="30" t="s">
        <v>76</v>
      </c>
      <c r="L9" s="29" t="s">
        <v>71</v>
      </c>
      <c r="M9" s="25" t="s">
        <v>140</v>
      </c>
      <c r="N9" s="25" t="s">
        <v>141</v>
      </c>
      <c r="O9" s="25" t="s">
        <v>74</v>
      </c>
      <c r="P9" s="25" t="s">
        <v>124</v>
      </c>
      <c r="Q9" s="26">
        <v>2.0</v>
      </c>
      <c r="R9" s="26">
        <v>3.0</v>
      </c>
      <c r="S9" s="27">
        <f t="shared" si="2"/>
        <v>6</v>
      </c>
      <c r="T9" s="30" t="s">
        <v>76</v>
      </c>
      <c r="U9" s="36" t="s">
        <v>101</v>
      </c>
      <c r="V9" s="25" t="s">
        <v>78</v>
      </c>
      <c r="W9" s="25" t="s">
        <v>142</v>
      </c>
    </row>
    <row r="10" ht="60.0" customHeight="1">
      <c r="A10" s="31" t="s">
        <v>143</v>
      </c>
      <c r="B10" s="32" t="s">
        <v>144</v>
      </c>
      <c r="C10" s="32" t="s">
        <v>145</v>
      </c>
      <c r="D10" s="32" t="s">
        <v>146</v>
      </c>
      <c r="E10" s="32" t="s">
        <v>147</v>
      </c>
      <c r="F10" s="32" t="s">
        <v>148</v>
      </c>
      <c r="G10" s="32" t="s">
        <v>149</v>
      </c>
      <c r="H10" s="33">
        <v>2.0</v>
      </c>
      <c r="I10" s="33">
        <v>3.0</v>
      </c>
      <c r="J10" s="34">
        <f t="shared" si="1"/>
        <v>6</v>
      </c>
      <c r="K10" s="30" t="s">
        <v>76</v>
      </c>
      <c r="L10" s="37" t="s">
        <v>150</v>
      </c>
      <c r="M10" s="32" t="s">
        <v>151</v>
      </c>
      <c r="N10" s="32" t="s">
        <v>152</v>
      </c>
      <c r="O10" s="32" t="s">
        <v>153</v>
      </c>
      <c r="P10" s="32" t="s">
        <v>154</v>
      </c>
      <c r="Q10" s="33">
        <v>2.0</v>
      </c>
      <c r="R10" s="33">
        <v>3.0</v>
      </c>
      <c r="S10" s="34">
        <f t="shared" si="2"/>
        <v>6</v>
      </c>
      <c r="T10" s="30" t="s">
        <v>76</v>
      </c>
      <c r="U10" s="36" t="s">
        <v>101</v>
      </c>
      <c r="V10" s="32" t="s">
        <v>78</v>
      </c>
      <c r="W10" s="32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W1"/>
  </mergeCells>
  <dataValidations>
    <dataValidation type="list" allowBlank="1" showInputMessage="1" showErrorMessage="1" prompt="Invalid Status - Please select: OPEN, IN PROGRESS, CLOSED, or ACCEPTED" sqref="U3:U10">
      <formula1>"OPEN,IN PROGRESS,CLOSED,ACCEPTED"</formula1>
    </dataValidation>
    <dataValidation type="list" allowBlank="1" sqref="L3:L10">
      <formula1>"Mitigate,Transfer,Accept,Avoid"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4" width="16.0"/>
    <col customWidth="1" min="5" max="5" width="3.0"/>
    <col customWidth="1" min="6" max="6" width="26.0"/>
    <col customWidth="1" min="7" max="8" width="16.0"/>
    <col customWidth="1" min="9" max="26" width="8.71"/>
  </cols>
  <sheetData>
    <row r="1" ht="36.0" customHeight="1">
      <c r="A1" s="38"/>
      <c r="B1" s="39" t="s">
        <v>156</v>
      </c>
      <c r="C1" s="40"/>
      <c r="D1" s="40"/>
      <c r="E1" s="40"/>
      <c r="F1" s="40"/>
      <c r="G1" s="40"/>
      <c r="H1" s="41"/>
      <c r="I1" s="38"/>
    </row>
    <row r="2" ht="21.75" customHeight="1">
      <c r="A2" s="42"/>
      <c r="B2" s="43" t="s">
        <v>157</v>
      </c>
      <c r="C2" s="40"/>
      <c r="D2" s="40"/>
      <c r="E2" s="40"/>
      <c r="F2" s="40"/>
      <c r="G2" s="40"/>
      <c r="H2" s="41"/>
      <c r="I2" s="42"/>
    </row>
    <row r="4" ht="21.75" customHeight="1">
      <c r="B4" s="44" t="s">
        <v>158</v>
      </c>
      <c r="C4" s="40"/>
      <c r="D4" s="40"/>
      <c r="E4" s="40"/>
      <c r="F4" s="40"/>
      <c r="G4" s="40"/>
      <c r="H4" s="41"/>
    </row>
    <row r="5" ht="27.75" customHeight="1">
      <c r="B5" s="45" t="s">
        <v>159</v>
      </c>
      <c r="C5" s="46">
        <f>COUNTIF('📊 Risk Register'!K3:K10,"CRITICAL")</f>
        <v>2</v>
      </c>
    </row>
    <row r="6" ht="27.75" customHeight="1">
      <c r="B6" s="47" t="s">
        <v>160</v>
      </c>
      <c r="C6" s="48">
        <f>COUNTIF('📊 Risk Register'!K3:K10,"HIGH")</f>
        <v>3</v>
      </c>
    </row>
    <row r="7" ht="27.75" customHeight="1">
      <c r="B7" s="49" t="s">
        <v>161</v>
      </c>
      <c r="C7" s="50">
        <f>COUNTIF('📊 Risk Register'!K3:K10,"MEDIUM")</f>
        <v>3</v>
      </c>
    </row>
    <row r="8" ht="27.75" customHeight="1">
      <c r="B8" s="51" t="s">
        <v>162</v>
      </c>
      <c r="C8" s="52">
        <f>COUNTIF('📊 Risk Register'!K3:K10,"LOW")</f>
        <v>0</v>
      </c>
    </row>
    <row r="9" ht="27.75" customHeight="1">
      <c r="B9" s="53" t="s">
        <v>163</v>
      </c>
      <c r="C9" s="54">
        <f>COUNTA('📊 Risk Register'!A3:A10)</f>
        <v>8</v>
      </c>
    </row>
    <row r="11" ht="21.75" customHeight="1">
      <c r="B11" s="44" t="s">
        <v>164</v>
      </c>
      <c r="C11" s="40"/>
      <c r="D11" s="40"/>
      <c r="E11" s="40"/>
      <c r="F11" s="40"/>
      <c r="G11" s="40"/>
      <c r="H11" s="41"/>
    </row>
    <row r="12" ht="27.75" customHeight="1">
      <c r="B12" s="47" t="s">
        <v>165</v>
      </c>
      <c r="C12" s="48">
        <f>COUNTIF('📊 Risk Register'!U3:U10,"OPEN")</f>
        <v>6</v>
      </c>
    </row>
    <row r="13" ht="27.75" customHeight="1">
      <c r="B13" s="49" t="s">
        <v>166</v>
      </c>
      <c r="C13" s="50">
        <f>COUNTIF('📊 Risk Register'!U3:U10,"IN PROGRESS")</f>
        <v>2</v>
      </c>
    </row>
    <row r="14" ht="27.75" customHeight="1">
      <c r="B14" s="51" t="s">
        <v>167</v>
      </c>
      <c r="C14" s="52">
        <f>COUNTIF('📊 Risk Register'!U3:U10,"CLOSED")</f>
        <v>0</v>
      </c>
    </row>
    <row r="15" ht="27.75" customHeight="1">
      <c r="B15" s="55" t="s">
        <v>168</v>
      </c>
      <c r="C15" s="56">
        <f>COUNTIF('📊 Risk Register'!U3:U10,"ACCEPTED")</f>
        <v>0</v>
      </c>
    </row>
    <row r="17" ht="21.75" customHeight="1">
      <c r="B17" s="44" t="s">
        <v>169</v>
      </c>
      <c r="C17" s="40"/>
      <c r="D17" s="40"/>
      <c r="E17" s="40"/>
      <c r="F17" s="40"/>
      <c r="G17" s="40"/>
      <c r="H17" s="41"/>
    </row>
    <row r="18" ht="27.75" customHeight="1">
      <c r="B18" s="53" t="s">
        <v>170</v>
      </c>
      <c r="C18" s="57">
        <f>COUNTIF('📊 Risk Register'!L3:L10,"Mitigate")</f>
        <v>7</v>
      </c>
    </row>
    <row r="19" ht="27.75" customHeight="1">
      <c r="B19" s="58" t="s">
        <v>171</v>
      </c>
      <c r="C19" s="59">
        <f>COUNTIF('📊 Risk Register'!L3:L10,"Transfer")</f>
        <v>1</v>
      </c>
    </row>
    <row r="20" ht="27.75" customHeight="1">
      <c r="B20" s="49" t="s">
        <v>172</v>
      </c>
      <c r="C20" s="50">
        <f>COUNTIF('📊 Risk Register'!L3:L10,"Accept")</f>
        <v>0</v>
      </c>
    </row>
    <row r="21" ht="27.75" customHeight="1">
      <c r="B21" s="45" t="s">
        <v>173</v>
      </c>
      <c r="C21" s="46">
        <f>COUNTIF('📊 Risk Register'!L3:L10,"Avoid")</f>
        <v>0</v>
      </c>
    </row>
    <row r="22" ht="15.75" customHeight="1"/>
    <row r="23" ht="21.75" customHeight="1">
      <c r="B23" s="60" t="s">
        <v>174</v>
      </c>
      <c r="C23" s="40"/>
      <c r="D23" s="40"/>
      <c r="E23" s="40"/>
      <c r="F23" s="40"/>
      <c r="G23" s="40"/>
      <c r="H23" s="41"/>
    </row>
    <row r="24" ht="21.75" customHeight="1">
      <c r="B24" s="23" t="s">
        <v>40</v>
      </c>
      <c r="C24" s="23" t="s">
        <v>41</v>
      </c>
      <c r="D24" s="61"/>
      <c r="E24" s="23" t="s">
        <v>175</v>
      </c>
      <c r="F24" s="23" t="s">
        <v>176</v>
      </c>
      <c r="G24" s="23" t="s">
        <v>177</v>
      </c>
      <c r="H24" s="61"/>
    </row>
    <row r="25">
      <c r="B25" s="62" t="s">
        <v>63</v>
      </c>
      <c r="C25" s="63" t="s">
        <v>64</v>
      </c>
      <c r="D25" s="61"/>
      <c r="E25" s="64">
        <f>'📊 Risk Register'!J3</f>
        <v>25</v>
      </c>
      <c r="F25" s="65">
        <f>'📊 Risk Register'!S3</f>
        <v>10</v>
      </c>
      <c r="G25" s="66">
        <f t="shared" ref="G25:G32" si="1">E25-F25</f>
        <v>15</v>
      </c>
      <c r="H25" s="61"/>
    </row>
    <row r="26">
      <c r="B26" s="62" t="s">
        <v>80</v>
      </c>
      <c r="C26" s="63" t="s">
        <v>81</v>
      </c>
      <c r="D26" s="61"/>
      <c r="E26" s="64">
        <f>'📊 Risk Register'!J4</f>
        <v>20</v>
      </c>
      <c r="F26" s="65">
        <f>'📊 Risk Register'!S4</f>
        <v>10</v>
      </c>
      <c r="G26" s="66">
        <f t="shared" si="1"/>
        <v>10</v>
      </c>
      <c r="H26" s="61"/>
    </row>
    <row r="27">
      <c r="B27" s="62" t="s">
        <v>90</v>
      </c>
      <c r="C27" s="63" t="s">
        <v>91</v>
      </c>
      <c r="D27" s="61"/>
      <c r="E27" s="67">
        <f>'📊 Risk Register'!J5</f>
        <v>16</v>
      </c>
      <c r="F27" s="67">
        <f>'📊 Risk Register'!S5</f>
        <v>12</v>
      </c>
      <c r="G27" s="66">
        <f t="shared" si="1"/>
        <v>4</v>
      </c>
      <c r="H27" s="61"/>
    </row>
    <row r="28">
      <c r="B28" s="62" t="s">
        <v>103</v>
      </c>
      <c r="C28" s="63" t="s">
        <v>104</v>
      </c>
      <c r="D28" s="61"/>
      <c r="E28" s="67">
        <f>'📊 Risk Register'!J6</f>
        <v>16</v>
      </c>
      <c r="F28" s="65">
        <f>'📊 Risk Register'!S6</f>
        <v>8</v>
      </c>
      <c r="G28" s="66">
        <f t="shared" si="1"/>
        <v>8</v>
      </c>
      <c r="H28" s="61"/>
    </row>
    <row r="29">
      <c r="B29" s="62" t="s">
        <v>114</v>
      </c>
      <c r="C29" s="63" t="s">
        <v>115</v>
      </c>
      <c r="D29" s="61"/>
      <c r="E29" s="67">
        <f>'📊 Risk Register'!J7</f>
        <v>12</v>
      </c>
      <c r="F29" s="65">
        <f>'📊 Risk Register'!S7</f>
        <v>8</v>
      </c>
      <c r="G29" s="66">
        <f t="shared" si="1"/>
        <v>4</v>
      </c>
      <c r="H29" s="61"/>
    </row>
    <row r="30">
      <c r="B30" s="62" t="s">
        <v>126</v>
      </c>
      <c r="C30" s="63" t="s">
        <v>127</v>
      </c>
      <c r="D30" s="61"/>
      <c r="E30" s="65">
        <f>'📊 Risk Register'!J8</f>
        <v>9</v>
      </c>
      <c r="F30" s="65">
        <f>'📊 Risk Register'!S8</f>
        <v>6</v>
      </c>
      <c r="G30" s="66">
        <f t="shared" si="1"/>
        <v>3</v>
      </c>
      <c r="H30" s="61"/>
    </row>
    <row r="31">
      <c r="B31" s="62" t="s">
        <v>135</v>
      </c>
      <c r="C31" s="63" t="s">
        <v>136</v>
      </c>
      <c r="D31" s="61"/>
      <c r="E31" s="65">
        <f>'📊 Risk Register'!J9</f>
        <v>9</v>
      </c>
      <c r="F31" s="65">
        <f>'📊 Risk Register'!S9</f>
        <v>6</v>
      </c>
      <c r="G31" s="66">
        <f t="shared" si="1"/>
        <v>3</v>
      </c>
      <c r="H31" s="61"/>
    </row>
    <row r="32">
      <c r="B32" s="62" t="s">
        <v>143</v>
      </c>
      <c r="C32" s="63" t="s">
        <v>144</v>
      </c>
      <c r="D32" s="61"/>
      <c r="E32" s="65">
        <f>'📊 Risk Register'!J10</f>
        <v>6</v>
      </c>
      <c r="F32" s="65">
        <f>'📊 Risk Register'!S10</f>
        <v>6</v>
      </c>
      <c r="G32" s="66">
        <f t="shared" si="1"/>
        <v>0</v>
      </c>
      <c r="H32" s="61"/>
    </row>
    <row r="33" ht="15.75" customHeight="1">
      <c r="B33" s="61"/>
      <c r="C33" s="61"/>
      <c r="D33" s="61"/>
      <c r="E33" s="61"/>
      <c r="F33" s="61"/>
      <c r="G33" s="61"/>
      <c r="H33" s="6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4:H4"/>
    <mergeCell ref="B11:H11"/>
    <mergeCell ref="B17:H17"/>
    <mergeCell ref="B23:H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60.0"/>
    <col customWidth="1" min="4" max="4" width="3.0"/>
    <col customWidth="1" min="5" max="26" width="8.71"/>
  </cols>
  <sheetData>
    <row r="1" ht="36.0" customHeight="1">
      <c r="A1" s="38"/>
      <c r="B1" s="68" t="s">
        <v>178</v>
      </c>
      <c r="C1" s="40"/>
      <c r="D1" s="41"/>
      <c r="E1" s="38"/>
    </row>
    <row r="3" ht="21.75" customHeight="1">
      <c r="A3" s="42"/>
      <c r="B3" s="69" t="s">
        <v>30</v>
      </c>
      <c r="C3" s="41"/>
      <c r="D3" s="42"/>
    </row>
    <row r="4" ht="30.0" customHeight="1">
      <c r="B4" s="70" t="s">
        <v>179</v>
      </c>
      <c r="C4" s="71" t="s">
        <v>180</v>
      </c>
    </row>
    <row r="5" ht="30.0" customHeight="1">
      <c r="B5" s="72" t="s">
        <v>181</v>
      </c>
      <c r="C5" s="73" t="s">
        <v>182</v>
      </c>
    </row>
    <row r="6" ht="30.0" customHeight="1">
      <c r="B6" s="74" t="s">
        <v>183</v>
      </c>
      <c r="C6" s="75" t="s">
        <v>184</v>
      </c>
    </row>
    <row r="7" ht="30.0" customHeight="1">
      <c r="B7" s="76" t="s">
        <v>185</v>
      </c>
      <c r="C7" s="77" t="s">
        <v>186</v>
      </c>
    </row>
    <row r="9" ht="21.75" customHeight="1">
      <c r="A9" s="42"/>
      <c r="B9" s="69" t="s">
        <v>187</v>
      </c>
      <c r="C9" s="41"/>
      <c r="D9" s="42"/>
    </row>
    <row r="10" ht="30.0" customHeight="1">
      <c r="B10" s="78" t="s">
        <v>71</v>
      </c>
      <c r="C10" s="32" t="s">
        <v>188</v>
      </c>
    </row>
    <row r="11" ht="30.0" customHeight="1">
      <c r="B11" s="79" t="s">
        <v>150</v>
      </c>
      <c r="C11" s="80" t="s">
        <v>189</v>
      </c>
    </row>
    <row r="12" ht="30.0" customHeight="1">
      <c r="B12" s="78" t="s">
        <v>190</v>
      </c>
      <c r="C12" s="32" t="s">
        <v>191</v>
      </c>
    </row>
    <row r="13" ht="30.0" customHeight="1">
      <c r="B13" s="79" t="s">
        <v>192</v>
      </c>
      <c r="C13" s="80" t="s">
        <v>193</v>
      </c>
    </row>
    <row r="15" ht="21.75" customHeight="1">
      <c r="A15" s="42"/>
      <c r="B15" s="69" t="s">
        <v>194</v>
      </c>
      <c r="C15" s="41"/>
      <c r="D15" s="42"/>
    </row>
    <row r="16" ht="30.0" customHeight="1">
      <c r="B16" s="78" t="s">
        <v>101</v>
      </c>
      <c r="C16" s="32" t="s">
        <v>195</v>
      </c>
    </row>
    <row r="17" ht="30.0" customHeight="1">
      <c r="B17" s="79" t="s">
        <v>77</v>
      </c>
      <c r="C17" s="80" t="s">
        <v>196</v>
      </c>
    </row>
    <row r="18" ht="30.0" customHeight="1">
      <c r="B18" s="78" t="s">
        <v>197</v>
      </c>
      <c r="C18" s="32" t="s">
        <v>198</v>
      </c>
    </row>
    <row r="19" ht="30.0" customHeight="1">
      <c r="B19" s="79" t="s">
        <v>199</v>
      </c>
      <c r="C19" s="80" t="s">
        <v>200</v>
      </c>
    </row>
    <row r="21" ht="21.75" customHeight="1">
      <c r="A21" s="42"/>
      <c r="B21" s="69" t="s">
        <v>201</v>
      </c>
      <c r="C21" s="41"/>
      <c r="D21" s="42"/>
    </row>
    <row r="22" ht="30.0" customHeight="1">
      <c r="B22" s="81" t="s">
        <v>202</v>
      </c>
      <c r="C22" s="25" t="s">
        <v>203</v>
      </c>
    </row>
    <row r="23" ht="30.0" customHeight="1">
      <c r="B23" s="78" t="s">
        <v>204</v>
      </c>
      <c r="C23" s="32" t="s">
        <v>205</v>
      </c>
    </row>
    <row r="24" ht="30.0" customHeight="1">
      <c r="B24" s="81" t="s">
        <v>206</v>
      </c>
      <c r="C24" s="25" t="s">
        <v>207</v>
      </c>
    </row>
    <row r="25" ht="30.0" customHeight="1">
      <c r="B25" s="78" t="s">
        <v>208</v>
      </c>
      <c r="C25" s="32" t="s">
        <v>209</v>
      </c>
    </row>
    <row r="26" ht="30.0" customHeight="1">
      <c r="B26" s="81" t="s">
        <v>210</v>
      </c>
      <c r="C26" s="25" t="s">
        <v>211</v>
      </c>
    </row>
    <row r="27" ht="30.0" customHeight="1">
      <c r="B27" s="78" t="s">
        <v>212</v>
      </c>
      <c r="C27" s="32" t="s">
        <v>213</v>
      </c>
    </row>
    <row r="28" ht="15.75" customHeight="1"/>
    <row r="29" ht="21.75" customHeight="1">
      <c r="A29" s="42"/>
      <c r="B29" s="69" t="s">
        <v>214</v>
      </c>
      <c r="C29" s="41"/>
      <c r="D29" s="42"/>
    </row>
    <row r="30" ht="30.0" customHeight="1">
      <c r="B30" s="78" t="s">
        <v>215</v>
      </c>
      <c r="C30" s="32" t="s">
        <v>216</v>
      </c>
    </row>
    <row r="31" ht="30.0" customHeight="1">
      <c r="B31" s="79" t="s">
        <v>217</v>
      </c>
      <c r="C31" s="80" t="s">
        <v>218</v>
      </c>
    </row>
    <row r="32" ht="30.0" customHeight="1">
      <c r="B32" s="78" t="s">
        <v>219</v>
      </c>
      <c r="C32" s="32" t="s">
        <v>220</v>
      </c>
    </row>
    <row r="33" ht="30.0" customHeight="1">
      <c r="B33" s="79" t="s">
        <v>221</v>
      </c>
      <c r="C33" s="80" t="s">
        <v>222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D1"/>
    <mergeCell ref="B3:C3"/>
    <mergeCell ref="B9:C9"/>
    <mergeCell ref="B15:C15"/>
    <mergeCell ref="B21:C21"/>
    <mergeCell ref="B29:C2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2026-03-06T16:55:33Z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